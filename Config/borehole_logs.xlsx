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<sst xmlns="http://schemas.openxmlformats.org/spreadsheetml/2006/main" count="34" uniqueCount="31">
  <si>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Name</t>
  </si>
  <si>
    <t>X (m)</t>
  </si>
  <si>
    <t>Y (m)</t>
  </si>
  <si>
    <t>Thickness alluvial deposits (m)</t>
  </si>
  <si>
    <t>X</t>
  </si>
  <si>
    <t>Y</t>
  </si>
  <si>
    <t>Upper_Aquifer_Bottom</t>
  </si>
  <si>
    <t>P1</t>
  </si>
  <si>
    <t>Pz2</t>
  </si>
  <si>
    <t>Pz3</t>
  </si>
  <si>
    <t>Pz4</t>
  </si>
  <si>
    <t>Pz5</t>
  </si>
  <si>
    <t>Pz6</t>
  </si>
  <si>
    <t>Pz7</t>
  </si>
  <si>
    <t>Pz8</t>
  </si>
  <si>
    <t>Pz9</t>
  </si>
  <si>
    <t>Pz10</t>
  </si>
  <si>
    <t>Pz11</t>
  </si>
  <si>
    <t>Pz12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</si>
  <si>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</si>
  <si>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</si>
  <si>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</si>
  <si>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</si>
  <si>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</si>
  <si>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</si>
  <si>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</si>
  <si>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</si>
  <si>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</si>
  <si>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</si>
  <si>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Initial Head</t>
  </si>
  <si>
    <t>Final Head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</si>
</sst>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9"/>
  <sheetViews>
    <sheetView tabSelected="1" workbookViewId="0">
      <selection activeCell="D21" sqref="D21"/>
    </sheetView>
  </sheetViews>
  <sheetFormatPr defaultColWidth="9" defaultRowHeight="13.5"/>
  <cols>
    <col min="4" max="4" width="39.1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H1" s="1" t="s">
        <v>4</v>
      </c>
      <c r="I1" s="1" t="s">
        <v>5</v>
      </c>
      <c r="J1" s="1" t="s">
        <v>6</v>
      </c>
      <c r="O1" s="1" t="s">
        <v>4</v>
      </c>
      <c r="P1" s="1" t="s">
        <v>5</v>
      </c>
      <c r="Q1" s="1" t="s">
        <v>6</v>
      </c>
    </row>
    <row r="2" spans="1:21">
      <c r="A2" t="s">
        <v>7</v>
      </c>
      <c r="B2">
        <v>475</v>
      </c>
      <c r="C2">
        <v>504</v>
      </c>
      <c r="D2">
        <v>18</v>
      </c>
      <c r="H2">
        <v>475</v>
      </c>
      <c r="I2">
        <v>504</v>
      </c>
      <c r="J2">
        <f>40-L2</f>
        <v>22</v>
      </c>
      <c r="L2">
        <v>18</v>
      </c>
      <c r="O2">
        <v>475</v>
      </c>
      <c r="P2">
        <v>504</v>
      </c>
      <c r="Q2">
        <f>(40+S2)/2</f>
        <v>31</v>
      </c>
      <c r="S2">
        <f t="shared" ref="S2:S13" si="0">40-U2</f>
        <v>22</v>
      </c>
      <c r="U2">
        <v>18</v>
      </c>
    </row>
    <row r="3" spans="1:21">
      <c r="A3" t="s">
        <v>8</v>
      </c>
      <c r="B3">
        <v>507</v>
      </c>
      <c r="C3">
        <v>538</v>
      </c>
      <c r="D3">
        <v>18</v>
      </c>
      <c r="H3">
        <v>507</v>
      </c>
      <c r="I3">
        <v>538</v>
      </c>
      <c r="J3">
        <f t="shared" ref="J3:J23" si="1">40-L3</f>
        <v>22</v>
      </c>
      <c r="L3">
        <v>18</v>
      </c>
      <c r="O3">
        <v>507</v>
      </c>
      <c r="P3">
        <v>538</v>
      </c>
      <c r="Q3">
        <f t="shared" ref="Q3:Q12" si="2">(40+S3)/2</f>
        <v>31</v>
      </c>
      <c r="S3">
        <f t="shared" si="0"/>
        <v>22</v>
      </c>
      <c r="U3">
        <v>18</v>
      </c>
    </row>
    <row r="4" spans="1:21">
      <c r="A4" t="s">
        <v>9</v>
      </c>
      <c r="B4">
        <v>545</v>
      </c>
      <c r="C4">
        <v>585</v>
      </c>
      <c r="D4">
        <v>18</v>
      </c>
      <c r="H4">
        <v>545</v>
      </c>
      <c r="I4">
        <v>585</v>
      </c>
      <c r="J4">
        <f t="shared" si="1"/>
        <v>22</v>
      </c>
      <c r="L4">
        <v>18</v>
      </c>
      <c r="O4">
        <v>545</v>
      </c>
      <c r="P4">
        <v>585</v>
      </c>
      <c r="Q4">
        <f t="shared" si="2"/>
        <v>31</v>
      </c>
      <c r="S4">
        <f t="shared" si="0"/>
        <v>22</v>
      </c>
      <c r="U4">
        <v>18</v>
      </c>
    </row>
    <row r="5" spans="1:21">
      <c r="A5" t="s">
        <v>10</v>
      </c>
      <c r="B5">
        <v>455</v>
      </c>
      <c r="C5">
        <v>411</v>
      </c>
      <c r="D5">
        <v>18</v>
      </c>
      <c r="H5">
        <v>455</v>
      </c>
      <c r="I5">
        <v>411</v>
      </c>
      <c r="J5">
        <f t="shared" si="1"/>
        <v>22</v>
      </c>
      <c r="L5">
        <v>18</v>
      </c>
      <c r="O5">
        <v>455</v>
      </c>
      <c r="P5">
        <v>411</v>
      </c>
      <c r="Q5">
        <f t="shared" si="2"/>
        <v>31</v>
      </c>
      <c r="S5">
        <f t="shared" si="0"/>
        <v>22</v>
      </c>
      <c r="U5">
        <v>18</v>
      </c>
    </row>
    <row r="6" spans="1:21">
      <c r="A6" t="s">
        <v>11</v>
      </c>
      <c r="B6">
        <v>359</v>
      </c>
      <c r="C6">
        <v>614</v>
      </c>
      <c r="D6">
        <v>17</v>
      </c>
      <c r="H6">
        <v>359</v>
      </c>
      <c r="I6">
        <v>614</v>
      </c>
      <c r="J6">
        <f t="shared" si="1"/>
        <v>23</v>
      </c>
      <c r="L6">
        <v>17</v>
      </c>
      <c r="O6">
        <v>359</v>
      </c>
      <c r="P6">
        <v>614</v>
      </c>
      <c r="Q6">
        <f t="shared" si="2"/>
        <v>31.5</v>
      </c>
      <c r="S6">
        <f t="shared" si="0"/>
        <v>23</v>
      </c>
      <c r="U6">
        <v>17</v>
      </c>
    </row>
    <row r="7" spans="1:21">
      <c r="A7" t="s">
        <v>12</v>
      </c>
      <c r="B7">
        <v>338</v>
      </c>
      <c r="C7">
        <v>90</v>
      </c>
      <c r="D7">
        <v>14</v>
      </c>
      <c r="H7">
        <v>338</v>
      </c>
      <c r="I7">
        <v>90</v>
      </c>
      <c r="J7">
        <f t="shared" si="1"/>
        <v>26</v>
      </c>
      <c r="L7">
        <v>14</v>
      </c>
      <c r="O7">
        <v>338</v>
      </c>
      <c r="P7">
        <v>90</v>
      </c>
      <c r="Q7">
        <f t="shared" si="2"/>
        <v>33</v>
      </c>
      <c r="S7">
        <f t="shared" si="0"/>
        <v>26</v>
      </c>
      <c r="U7">
        <v>14</v>
      </c>
    </row>
    <row r="8" spans="1:21">
      <c r="A8" t="s">
        <v>13</v>
      </c>
      <c r="B8">
        <v>599</v>
      </c>
      <c r="C8">
        <v>168</v>
      </c>
      <c r="D8">
        <v>14</v>
      </c>
      <c r="H8">
        <v>599</v>
      </c>
      <c r="I8">
        <v>168</v>
      </c>
      <c r="J8">
        <f t="shared" si="1"/>
        <v>26</v>
      </c>
      <c r="L8">
        <v>14</v>
      </c>
      <c r="O8">
        <v>599</v>
      </c>
      <c r="P8">
        <v>168</v>
      </c>
      <c r="Q8">
        <f t="shared" si="2"/>
        <v>33</v>
      </c>
      <c r="S8">
        <f t="shared" si="0"/>
        <v>26</v>
      </c>
      <c r="U8">
        <v>14</v>
      </c>
    </row>
    <row r="9" spans="1:21">
      <c r="A9" t="s">
        <v>14</v>
      </c>
      <c r="B9">
        <v>143</v>
      </c>
      <c r="C9">
        <v>596</v>
      </c>
      <c r="D9">
        <v>11</v>
      </c>
      <c r="H9">
        <v>143</v>
      </c>
      <c r="I9">
        <v>596</v>
      </c>
      <c r="J9">
        <f t="shared" si="1"/>
        <v>29</v>
      </c>
      <c r="L9">
        <v>11</v>
      </c>
      <c r="O9">
        <v>143</v>
      </c>
      <c r="P9">
        <v>596</v>
      </c>
      <c r="Q9">
        <f t="shared" si="2"/>
        <v>34.5</v>
      </c>
      <c r="S9">
        <f t="shared" si="0"/>
        <v>29</v>
      </c>
      <c r="U9">
        <v>11</v>
      </c>
    </row>
    <row r="10" spans="1:21">
      <c r="A10" t="s">
        <v>15</v>
      </c>
      <c r="B10">
        <v>801</v>
      </c>
      <c r="C10">
        <v>721</v>
      </c>
      <c r="D10">
        <v>21</v>
      </c>
      <c r="H10">
        <v>801</v>
      </c>
      <c r="I10">
        <v>721</v>
      </c>
      <c r="J10">
        <f t="shared" si="1"/>
        <v>19</v>
      </c>
      <c r="L10">
        <v>21</v>
      </c>
      <c r="O10">
        <v>801</v>
      </c>
      <c r="P10">
        <v>721</v>
      </c>
      <c r="Q10">
        <f t="shared" si="2"/>
        <v>29.5</v>
      </c>
      <c r="S10">
        <f t="shared" si="0"/>
        <v>19</v>
      </c>
      <c r="U10">
        <v>21</v>
      </c>
    </row>
    <row r="11" spans="1:21">
      <c r="A11" t="s">
        <v>16</v>
      </c>
      <c r="B11">
        <v>458</v>
      </c>
      <c r="C11">
        <v>924</v>
      </c>
      <c r="D11">
        <v>15</v>
      </c>
      <c r="H11">
        <v>458</v>
      </c>
      <c r="I11">
        <v>924</v>
      </c>
      <c r="J11">
        <f t="shared" si="1"/>
        <v>25</v>
      </c>
      <c r="L11">
        <v>15</v>
      </c>
      <c r="O11">
        <v>458</v>
      </c>
      <c r="P11">
        <v>924</v>
      </c>
      <c r="Q11">
        <f t="shared" si="2"/>
        <v>32.5</v>
      </c>
      <c r="S11">
        <f t="shared" si="0"/>
        <v>25</v>
      </c>
      <c r="U11">
        <v>15</v>
      </c>
    </row>
    <row r="12" spans="1:21">
      <c r="A12" t="s">
        <v>17</v>
      </c>
      <c r="B12">
        <v>94</v>
      </c>
      <c r="C12">
        <v>850</v>
      </c>
      <c r="D12">
        <v>7</v>
      </c>
      <c r="H12">
        <v>94</v>
      </c>
      <c r="I12">
        <v>850</v>
      </c>
      <c r="J12">
        <f t="shared" si="1"/>
        <v>33</v>
      </c>
      <c r="L12">
        <v>7</v>
      </c>
      <c r="O12">
        <v>94</v>
      </c>
      <c r="P12">
        <v>850</v>
      </c>
      <c r="Q12">
        <f t="shared" si="2"/>
        <v>36.5</v>
      </c>
      <c r="S12">
        <f t="shared" si="0"/>
        <v>33</v>
      </c>
      <c r="U12">
        <v>7</v>
      </c>
    </row>
    <row r="13" spans="1:21">
      <c r="A13" t="s">
        <v>18</v>
      </c>
      <c r="B13">
        <v>475</v>
      </c>
      <c r="C13">
        <v>504</v>
      </c>
      <c r="D13">
        <v>18</v>
      </c>
      <c r="H13">
        <v>475</v>
      </c>
      <c r="I13">
        <v>504</v>
      </c>
      <c r="J13">
        <f t="shared" si="1"/>
        <v>22</v>
      </c>
      <c r="L13">
        <v>18</v>
      </c>
      <c r="O13">
        <v>475</v>
      </c>
      <c r="P13">
        <v>504</v>
      </c>
      <c r="Q13">
        <f>(10+22)/2</f>
        <v>16</v>
      </c>
      <c r="S13">
        <f t="shared" si="0"/>
        <v>22</v>
      </c>
      <c r="U13">
        <v>18</v>
      </c>
    </row>
    <row r="14" spans="1:12">
      <c r="A14" t="s">
        <v>19</v>
      </c>
      <c r="B14">
        <v>444</v>
      </c>
      <c r="C14">
        <v>537</v>
      </c>
      <c r="D14">
        <v>18</v>
      </c>
      <c r="H14">
        <v>444</v>
      </c>
      <c r="I14">
        <v>537</v>
      </c>
      <c r="J14">
        <f t="shared" si="1"/>
        <v>22</v>
      </c>
      <c r="L14">
        <v>18</v>
      </c>
    </row>
    <row r="15" spans="1:12">
      <c r="A15" t="s">
        <v>20</v>
      </c>
      <c r="B15">
        <v>235</v>
      </c>
      <c r="C15">
        <v>302</v>
      </c>
      <c r="D15">
        <v>12</v>
      </c>
      <c r="H15">
        <v>235</v>
      </c>
      <c r="I15">
        <v>302</v>
      </c>
      <c r="J15">
        <f t="shared" si="1"/>
        <v>28</v>
      </c>
      <c r="L15">
        <v>12</v>
      </c>
    </row>
    <row r="16" spans="1:12">
      <c r="A16" t="s">
        <v>21</v>
      </c>
      <c r="B16">
        <v>456</v>
      </c>
      <c r="C16">
        <v>217</v>
      </c>
      <c r="D16">
        <v>13</v>
      </c>
      <c r="H16">
        <v>456</v>
      </c>
      <c r="I16">
        <v>217</v>
      </c>
      <c r="J16">
        <f t="shared" si="1"/>
        <v>27</v>
      </c>
      <c r="L16">
        <v>13</v>
      </c>
    </row>
    <row r="17" spans="1:12">
      <c r="A17" t="s">
        <v>22</v>
      </c>
      <c r="B17">
        <v>312</v>
      </c>
      <c r="C17">
        <v>734</v>
      </c>
      <c r="D17">
        <v>9</v>
      </c>
      <c r="H17">
        <v>312</v>
      </c>
      <c r="I17">
        <v>734</v>
      </c>
      <c r="J17">
        <f t="shared" si="1"/>
        <v>31</v>
      </c>
      <c r="L17">
        <v>9</v>
      </c>
    </row>
    <row r="18" spans="1:12">
      <c r="A18" t="s">
        <v>23</v>
      </c>
      <c r="B18">
        <v>562</v>
      </c>
      <c r="C18">
        <v>766</v>
      </c>
      <c r="D18">
        <v>18</v>
      </c>
      <c r="H18">
        <v>562</v>
      </c>
      <c r="I18">
        <v>766</v>
      </c>
      <c r="J18">
        <f t="shared" si="1"/>
        <v>22</v>
      </c>
      <c r="L18">
        <v>18</v>
      </c>
    </row>
    <row r="19" spans="1:12">
      <c r="A19" t="s">
        <v>24</v>
      </c>
      <c r="B19">
        <v>647</v>
      </c>
      <c r="C19">
        <v>393</v>
      </c>
      <c r="D19">
        <v>17</v>
      </c>
      <c r="H19">
        <v>647</v>
      </c>
      <c r="I19">
        <v>393</v>
      </c>
      <c r="J19">
        <f t="shared" si="1"/>
        <v>23</v>
      </c>
      <c r="L19">
        <v>17</v>
      </c>
    </row>
    <row r="20" spans="1:12">
      <c r="A20" t="s">
        <v>25</v>
      </c>
      <c r="B20">
        <v>843</v>
      </c>
      <c r="C20">
        <v>257</v>
      </c>
      <c r="D20">
        <v>19</v>
      </c>
      <c r="H20">
        <v>843</v>
      </c>
      <c r="I20">
        <v>257</v>
      </c>
      <c r="J20">
        <f t="shared" si="1"/>
        <v>21</v>
      </c>
      <c r="L20">
        <v>19</v>
      </c>
    </row>
    <row r="21" spans="1:12">
      <c r="A21" t="s">
        <v>26</v>
      </c>
      <c r="B21">
        <v>99</v>
      </c>
      <c r="C21">
        <v>70</v>
      </c>
      <c r="D21">
        <v>10</v>
      </c>
      <c r="H21">
        <v>99</v>
      </c>
      <c r="I21">
        <v>70</v>
      </c>
      <c r="J21">
        <f t="shared" si="1"/>
        <v>30</v>
      </c>
      <c r="L21">
        <v>10</v>
      </c>
    </row>
    <row r="22" spans="1:12">
      <c r="A22" t="s">
        <v>27</v>
      </c>
      <c r="B22">
        <v>196</v>
      </c>
      <c r="C22">
        <v>962</v>
      </c>
      <c r="D22">
        <v>10</v>
      </c>
      <c r="H22">
        <v>196</v>
      </c>
      <c r="I22">
        <v>962</v>
      </c>
      <c r="J22">
        <f t="shared" si="1"/>
        <v>30</v>
      </c>
      <c r="L22">
        <v>10</v>
      </c>
    </row>
    <row r="23" spans="1:12">
      <c r="A23" t="s">
        <v>28</v>
      </c>
      <c r="B23">
        <v>656</v>
      </c>
      <c r="C23">
        <v>922</v>
      </c>
      <c r="D23">
        <v>12</v>
      </c>
      <c r="H23">
        <v>656</v>
      </c>
      <c r="I23">
        <v>922</v>
      </c>
      <c r="J23">
        <f t="shared" si="1"/>
        <v>28</v>
      </c>
      <c r="L23">
        <v>12</v>
      </c>
    </row>
    <row r="27" spans="1:5">
      <c r="A27" t="s">
        <v>29</v>
      </c>
      <c r="E27" t="s">
        <v>30</v>
      </c>
    </row>
    <row r="28" spans="1:7">
      <c r="A28">
        <v>475</v>
      </c>
      <c r="B28">
        <v>504</v>
      </c>
      <c r="C28">
        <v>37.21</v>
      </c>
      <c r="E28">
        <v>475</v>
      </c>
      <c r="F28">
        <v>504</v>
      </c>
      <c r="G28">
        <v>35.05</v>
      </c>
    </row>
    <row r="29" spans="1:7">
      <c r="A29">
        <v>507</v>
      </c>
      <c r="B29">
        <v>538</v>
      </c>
      <c r="C29">
        <v>37.21</v>
      </c>
      <c r="E29">
        <v>507</v>
      </c>
      <c r="F29">
        <v>538</v>
      </c>
      <c r="G29">
        <v>36.32</v>
      </c>
    </row>
    <row r="30" spans="1:7">
      <c r="A30">
        <v>545</v>
      </c>
      <c r="B30">
        <v>585</v>
      </c>
      <c r="C30">
        <v>37.19</v>
      </c>
      <c r="E30">
        <v>545</v>
      </c>
      <c r="F30">
        <v>585</v>
      </c>
      <c r="G30">
        <v>36.56</v>
      </c>
    </row>
    <row r="31" spans="1:7">
      <c r="A31">
        <v>455</v>
      </c>
      <c r="B31">
        <v>411</v>
      </c>
      <c r="C31">
        <v>37.23</v>
      </c>
      <c r="E31">
        <v>455</v>
      </c>
      <c r="F31">
        <v>411</v>
      </c>
      <c r="G31">
        <v>36.49</v>
      </c>
    </row>
    <row r="32" spans="1:7">
      <c r="A32">
        <v>359</v>
      </c>
      <c r="B32">
        <v>614</v>
      </c>
      <c r="C32">
        <v>37.31</v>
      </c>
      <c r="E32">
        <v>359</v>
      </c>
      <c r="F32">
        <v>614</v>
      </c>
      <c r="G32">
        <v>36.7</v>
      </c>
    </row>
    <row r="33" spans="1:7">
      <c r="A33">
        <v>338</v>
      </c>
      <c r="B33">
        <v>90</v>
      </c>
      <c r="C33">
        <v>37.5</v>
      </c>
      <c r="E33">
        <v>338</v>
      </c>
      <c r="F33">
        <v>90</v>
      </c>
      <c r="G33">
        <v>37.01</v>
      </c>
    </row>
    <row r="34" spans="1:7">
      <c r="A34">
        <v>599</v>
      </c>
      <c r="B34">
        <v>168</v>
      </c>
      <c r="C34">
        <v>37.21</v>
      </c>
      <c r="E34">
        <v>599</v>
      </c>
      <c r="F34">
        <v>168</v>
      </c>
      <c r="G34">
        <v>36.84</v>
      </c>
    </row>
    <row r="35" spans="1:7">
      <c r="A35">
        <v>143</v>
      </c>
      <c r="B35">
        <v>596</v>
      </c>
      <c r="C35">
        <v>37.55</v>
      </c>
      <c r="E35">
        <v>143</v>
      </c>
      <c r="F35">
        <v>596</v>
      </c>
      <c r="G35">
        <v>37.07</v>
      </c>
    </row>
    <row r="36" spans="1:7">
      <c r="A36">
        <v>801</v>
      </c>
      <c r="B36">
        <v>721</v>
      </c>
      <c r="C36">
        <v>37.15</v>
      </c>
      <c r="E36">
        <v>801</v>
      </c>
      <c r="F36">
        <v>721</v>
      </c>
      <c r="G36">
        <v>36.8</v>
      </c>
    </row>
    <row r="37" spans="1:7">
      <c r="A37">
        <v>458</v>
      </c>
      <c r="B37">
        <v>924</v>
      </c>
      <c r="C37">
        <v>37.24</v>
      </c>
      <c r="E37">
        <v>458</v>
      </c>
      <c r="F37">
        <v>924</v>
      </c>
      <c r="G37">
        <v>36.83</v>
      </c>
    </row>
    <row r="38" spans="1:7">
      <c r="A38">
        <v>94</v>
      </c>
      <c r="B38">
        <v>850</v>
      </c>
      <c r="C38">
        <v>37.46</v>
      </c>
      <c r="E38">
        <v>94</v>
      </c>
      <c r="F38">
        <v>850</v>
      </c>
      <c r="G38">
        <v>37.01</v>
      </c>
    </row>
    <row r="39" spans="1:7">
      <c r="A39">
        <v>475</v>
      </c>
      <c r="B39">
        <v>504</v>
      </c>
      <c r="C39">
        <v>37.22</v>
      </c>
      <c r="E39">
        <v>475</v>
      </c>
      <c r="F39">
        <v>504</v>
      </c>
      <c r="G39">
        <v>36.21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格洛米.</cp:lastModifiedBy>
  <dcterms:created xsi:type="dcterms:W3CDTF">2025-10-01T13:03:00Z</dcterms:created>
  <dcterms:modified xsi:type="dcterms:W3CDTF">2025-10-22T10:23:39Z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F6DB286DCB1048F8BE97AC6339D9E169_12</vt:lpwstr>
  </property>
  <property fmtid="{D5CDD505-2E9C-101B-9397-08002B2CF9AE}" pid="3" name="KSOProductBuildVer">
    <vt:lpwstr>2052-12.1.0.23125</vt:lpwstr>
  </property>
</Properties>
</file>